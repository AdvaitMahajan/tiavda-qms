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global-server\F\GLOBAL GEOTECHNICS 26-27\QUOTATION 26-27\SOIL INVESTIGATION\Draft BOQ\"/>
    </mc:Choice>
  </mc:AlternateContent>
  <xr:revisionPtr revIDLastSave="0" documentId="13_ncr:1_{D562B278-1E91-43C2-995D-8E154C300219}" xr6:coauthVersionLast="46" xr6:coauthVersionMax="47" xr10:uidLastSave="{00000000-0000-0000-0000-000000000000}"/>
  <bookViews>
    <workbookView xWindow="-108" yWindow="-108" windowWidth="23256" windowHeight="12456" firstSheet="1" activeTab="1" xr2:uid="{00000000-000D-0000-FFFF-FFFF00000000}"/>
  </bookViews>
  <sheets>
    <sheet name="results" sheetId="2" state="veryHidden" r:id="rId1"/>
    <sheet name="Soil investigation BOQ" sheetId="1" r:id="rId2"/>
  </sheets>
  <externalReferences>
    <externalReference r:id="rId3"/>
  </externalReferences>
  <definedNames>
    <definedName name="a" localSheetId="1">#REF!</definedName>
    <definedName name="a">#REF!</definedName>
    <definedName name="aa" localSheetId="1">#REF!</definedName>
    <definedName name="aa">#REF!</definedName>
    <definedName name="CEMENT">'[1]Material Rate'!$E$6</definedName>
    <definedName name="DATA1" localSheetId="1">#REF!</definedName>
    <definedName name="DATA1">#REF!</definedName>
    <definedName name="DATA2" localSheetId="1">#REF!</definedName>
    <definedName name="DATA2">#REF!</definedName>
    <definedName name="DATA3" localSheetId="1">#REF!</definedName>
    <definedName name="DATA3">#REF!</definedName>
    <definedName name="DATA4" localSheetId="1">#REF!</definedName>
    <definedName name="DATA4">#REF!</definedName>
    <definedName name="_xlnm.Print_Area" localSheetId="1">'Soil investigation BOQ'!$A$1:$H$66</definedName>
    <definedName name="_xlnm.Print_Titles" localSheetId="1">'Soil investigation BOQ'!$5:$6</definedName>
    <definedName name="TEST0" localSheetId="1">#REF!</definedName>
    <definedName name="TEST0">#REF!</definedName>
    <definedName name="TESTHKEY" localSheetId="1">#REF!</definedName>
    <definedName name="TESTHKEY">#REF!</definedName>
    <definedName name="TESTKEYS" localSheetId="1">#REF!</definedName>
    <definedName name="TESTKEYS">#REF!</definedName>
    <definedName name="TESTVKEY" localSheetId="1">#REF!</definedName>
    <definedName name="TESTVKEY">#REF!</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7" i="1" l="1"/>
  <c r="F38" i="1"/>
  <c r="F13" i="1" l="1"/>
  <c r="F14" i="1"/>
  <c r="F16" i="1"/>
  <c r="F8" i="1"/>
  <c r="F12" i="1"/>
  <c r="F32" i="1"/>
  <c r="F31" i="1"/>
  <c r="F30" i="1"/>
  <c r="F29" i="1"/>
  <c r="F28" i="1"/>
  <c r="F34" i="1"/>
  <c r="F33" i="1"/>
  <c r="F26" i="1"/>
  <c r="F25" i="1"/>
  <c r="F24" i="1"/>
  <c r="F23" i="1"/>
  <c r="F22" i="1"/>
  <c r="F21" i="1"/>
  <c r="F20" i="1"/>
  <c r="F19" i="1"/>
  <c r="F15" i="1"/>
  <c r="F11" i="1"/>
  <c r="F10" i="1"/>
  <c r="F9" i="1"/>
  <c r="F36" i="1"/>
  <c r="I12" i="1"/>
  <c r="F39" i="1" l="1"/>
  <c r="F41" i="1" l="1"/>
  <c r="F40" i="1"/>
  <c r="F42" i="1" l="1"/>
</calcChain>
</file>

<file path=xl/sharedStrings.xml><?xml version="1.0" encoding="utf-8"?>
<sst xmlns="http://schemas.openxmlformats.org/spreadsheetml/2006/main" count="112" uniqueCount="88">
  <si>
    <t>SR. No.</t>
  </si>
  <si>
    <t>DESCRIPTION</t>
  </si>
  <si>
    <t>UNIT</t>
  </si>
  <si>
    <t>RMT</t>
  </si>
  <si>
    <t>GRAND TOTAL =</t>
  </si>
  <si>
    <t>Nos.</t>
  </si>
  <si>
    <t xml:space="preserve">Setting and shifting of rig at borehole locations. </t>
  </si>
  <si>
    <t>Collecting groundwater sample from boreholes for chemical analysis after dewatering of boreholes.</t>
  </si>
  <si>
    <t>Laboratory Testing on soil samples:</t>
  </si>
  <si>
    <t>Laboratory Testing on rock samples:</t>
  </si>
  <si>
    <t xml:space="preserve">Providing geotechnical report with all borehole logs, field tests, laboratory test results, graphs, recommendations for foundation options, excavation side slopes and shoring recommendations, groundwater levels for design, and addressing all relevant geotechnical issues.  </t>
  </si>
  <si>
    <t>b) Liquid Limit and Plastic Limit</t>
  </si>
  <si>
    <t>c) Porosity</t>
  </si>
  <si>
    <t>RIGS</t>
  </si>
  <si>
    <t>LS</t>
  </si>
  <si>
    <t>BILL OF QUANTITIES FOR SOIL INVESTIGATION</t>
  </si>
  <si>
    <t>QUANTITY</t>
  </si>
  <si>
    <t>RATE</t>
  </si>
  <si>
    <t>AMOUNT</t>
  </si>
  <si>
    <t>Mobilization of all drilling equipments, accessories, personnel, etc. to site, and demobilization of the same after completion of work as per specifications, contract requirements and instructions of Engineer-in-charge.</t>
  </si>
  <si>
    <t>Conducting Standard Penetration Tests (SPT-N value) in soil and in rock (with CR&lt;20%) at a vertical interval of 1.5m and collecting/preserving SPT soil samples.</t>
  </si>
  <si>
    <t>f) Natural moisture content (NMC) of soil by oven drying method</t>
  </si>
  <si>
    <t>g) Consolidation test on undisturbed sample</t>
  </si>
  <si>
    <t>Collecting undisturbed samples from boreholes in cohesive soils at a vertical interval of 3.0m or as per specifications.</t>
  </si>
  <si>
    <r>
      <t>a)</t>
    </r>
    <r>
      <rPr>
        <sz val="7"/>
        <color theme="1"/>
        <rFont val="Arial"/>
        <family val="2"/>
      </rPr>
      <t xml:space="preserve">     </t>
    </r>
    <r>
      <rPr>
        <sz val="12"/>
        <color theme="1"/>
        <rFont val="Arial"/>
        <family val="2"/>
      </rPr>
      <t>Grain Size Analysis by mechanical and hydrometer analysis</t>
    </r>
  </si>
  <si>
    <r>
      <t>e)</t>
    </r>
    <r>
      <rPr>
        <sz val="7"/>
        <color theme="1"/>
        <rFont val="Arial"/>
        <family val="2"/>
      </rPr>
      <t>   </t>
    </r>
    <r>
      <rPr>
        <sz val="12"/>
        <color theme="1"/>
        <rFont val="Arial"/>
        <family val="2"/>
      </rPr>
      <t> Chemical analysis -  pH, Sulphates, Chlorides in soil</t>
    </r>
  </si>
  <si>
    <r>
      <t>a)</t>
    </r>
    <r>
      <rPr>
        <sz val="7"/>
        <color theme="1"/>
        <rFont val="Arial"/>
        <family val="2"/>
      </rPr>
      <t xml:space="preserve">    </t>
    </r>
    <r>
      <rPr>
        <sz val="12"/>
        <color theme="1"/>
        <rFont val="Arial"/>
        <family val="2"/>
      </rPr>
      <t>Dry Density</t>
    </r>
  </si>
  <si>
    <r>
      <t>b)</t>
    </r>
    <r>
      <rPr>
        <sz val="7"/>
        <color theme="1"/>
        <rFont val="Arial"/>
        <family val="2"/>
      </rPr>
      <t xml:space="preserve">    </t>
    </r>
    <r>
      <rPr>
        <sz val="12"/>
        <color theme="1"/>
        <rFont val="Arial"/>
        <family val="2"/>
      </rPr>
      <t>Water Absorption</t>
    </r>
  </si>
  <si>
    <t xml:space="preserve">Boring minimum 100mm diameter hole in all kind of soils, fill, soft rock (CR&lt;10%) as per specifications and instructions of Engineer-in-charge.
</t>
  </si>
  <si>
    <t xml:space="preserve">Drilling Nx size exploratory bore holes in weathered rock/(N &gt; 50, CR &gt;10%) and hard rock with T.C. / with diamond drill bit with core run not more than 1.5m and colleting rock samples using double tube core barrels.
</t>
  </si>
  <si>
    <t>Supply of water tanker for drilling purpose, if not provided by the client</t>
  </si>
  <si>
    <t xml:space="preserve">A </t>
  </si>
  <si>
    <t>FIELD WORKS</t>
  </si>
  <si>
    <t>B</t>
  </si>
  <si>
    <t>LABORATORY TESTS</t>
  </si>
  <si>
    <t>c) Unit weight and specific gravity</t>
  </si>
  <si>
    <r>
      <t>d)</t>
    </r>
    <r>
      <rPr>
        <sz val="7"/>
        <color theme="1"/>
        <rFont val="Arial"/>
        <family val="2"/>
      </rPr>
      <t xml:space="preserve">     </t>
    </r>
    <r>
      <rPr>
        <sz val="12"/>
        <color theme="1"/>
        <rFont val="Arial"/>
        <family val="2"/>
      </rPr>
      <t>Triaxial shear Tests (undrained) on undisturbed sample,if clay is met</t>
    </r>
  </si>
  <si>
    <t>h) Direct shear test, if sand is met</t>
  </si>
  <si>
    <t>d) Specific gravity</t>
  </si>
  <si>
    <r>
      <t>e)</t>
    </r>
    <r>
      <rPr>
        <sz val="7"/>
        <color theme="1"/>
        <rFont val="Arial"/>
        <family val="2"/>
      </rPr>
      <t xml:space="preserve">    </t>
    </r>
    <r>
      <rPr>
        <sz val="12"/>
        <color theme="1"/>
        <rFont val="Arial"/>
        <family val="2"/>
      </rPr>
      <t>Unconfined Compressive Strength/Point load index</t>
    </r>
  </si>
  <si>
    <t>f) Modulus of Elasticity (E-value) test</t>
  </si>
  <si>
    <t>g) Poisson's Ratio of rock (Compulsory for highrise approval)</t>
  </si>
  <si>
    <t>h) Triaxial Compression of rock (Compulsory for highrise approval)</t>
  </si>
  <si>
    <t>Determination of pH, Sulphates, and Chlorides, in water samples</t>
  </si>
  <si>
    <t>C</t>
  </si>
  <si>
    <t>TOTAL OF A, B AND C =</t>
  </si>
  <si>
    <t>SGST 9.0%</t>
  </si>
  <si>
    <t>CGST 9.0%</t>
  </si>
  <si>
    <t>Preservation of soil and rock samples in wooden or GI core boxes and forwarding selected soil, rock and water samples to laboratory for testing.</t>
  </si>
  <si>
    <t>D</t>
  </si>
  <si>
    <t>Labour Accomodation and Transpotation (If space not available on site)</t>
  </si>
  <si>
    <t>-</t>
  </si>
  <si>
    <t>Note</t>
  </si>
  <si>
    <t xml:space="preserve">If the height of the proposed structure exceeds 120 meters, the investigation is required to be carried out in accordance with HRC norms. In this regard, the borehole depth shall be maintained at a minimum of 50 meters.
</t>
  </si>
  <si>
    <t>Upon approval of the quotation, work will commence within three to four days, contingent upon receipt of the formal work order, advance payment, and site clearance. Please be advised that the final report will be issued only upon receipt of the final payment.</t>
  </si>
  <si>
    <t>Clear access to the borehole location provided by client.</t>
  </si>
  <si>
    <t>The Reduced Levels of Borehole point provided by client before completion of field work.</t>
  </si>
  <si>
    <t>Permission from authorities to work in project area shall be taken by client</t>
  </si>
  <si>
    <t>Any disturbance due to local problems shall be tackled by the client. Additional charges shall be applied for demobilisation of equipment</t>
  </si>
  <si>
    <t>The rates presented herewith are valid only for a period of 30 days from the date of quotation</t>
  </si>
  <si>
    <t>The quantities presented herewith are assumed on the basis of working in the general project area. Actual quantites may vary and the final billing shall be done on the basis of actual quantities only.</t>
  </si>
  <si>
    <t>Terms of payment</t>
  </si>
  <si>
    <t>a.</t>
  </si>
  <si>
    <t>50% of quoted charges along with work order</t>
  </si>
  <si>
    <t>b.</t>
  </si>
  <si>
    <t>40% on completion of field work &amp; before submission of report.</t>
  </si>
  <si>
    <t>c.</t>
  </si>
  <si>
    <t>10% on submission of report</t>
  </si>
  <si>
    <t>For Global Geotechnics</t>
  </si>
  <si>
    <t>Banking Details</t>
  </si>
  <si>
    <t>Acc. Name</t>
  </si>
  <si>
    <t>Global Geotechnics</t>
  </si>
  <si>
    <t>Bank Name</t>
  </si>
  <si>
    <t>ICICI Bank</t>
  </si>
  <si>
    <t>A/C No.</t>
  </si>
  <si>
    <t>195705000807</t>
  </si>
  <si>
    <t>Acc. Type</t>
  </si>
  <si>
    <t>Current A/C</t>
  </si>
  <si>
    <t>Branch</t>
  </si>
  <si>
    <t>Dadar (West)</t>
  </si>
  <si>
    <t>IFSC Code</t>
  </si>
  <si>
    <t>ICIC0001957</t>
  </si>
  <si>
    <t>GST No.</t>
  </si>
  <si>
    <t>27AALFG9610M1ZW</t>
  </si>
  <si>
    <t>PA No.</t>
  </si>
  <si>
    <t>AALFG9610M</t>
  </si>
  <si>
    <t xml:space="preserve">PROPOSED PROJECT DETAILS: </t>
  </si>
  <si>
    <t xml:space="preserve">CLIENT: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</si>
</sst>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_ * #,##0_ ;_ * \-#,##0_ ;_ * &quot;-&quot;??_ ;_ @_ "/>
    <numFmt numFmtId="166" formatCode="_ [$₹-4009]\ * #,##0_ ;_ [$₹-4009]\ * \-#,##0_ ;_ [$₹-4009]\ * &quot;-&quot;??_ ;_ @_ "/>
  </numFmts>
  <fonts count="14" x14ac:knownFonts="1">
    <font>
      <sz val="11"/>
      <color theme="1"/>
      <name val="Calibri"/>
      <family val="2"/>
      <scheme val="minor"/>
    </font>
    <font>
      <sz val="11"/>
      <color theme="1"/>
      <name val="Calibri"/>
      <family val="2"/>
      <scheme val="minor"/>
    </font>
    <font>
      <sz val="12"/>
      <color theme="1"/>
      <name val="Calibri"/>
      <family val="2"/>
      <scheme val="minor"/>
    </font>
    <font>
      <b/>
      <sz val="12"/>
      <name val="Arial"/>
      <family val="2"/>
    </font>
    <font>
      <sz val="12"/>
      <color theme="1"/>
      <name val="Arial"/>
      <family val="2"/>
    </font>
    <font>
      <b/>
      <sz val="12"/>
      <color theme="1"/>
      <name val="Arial"/>
      <family val="2"/>
    </font>
    <font>
      <sz val="12"/>
      <color rgb="FF000000"/>
      <name val="Arial"/>
      <family val="2"/>
    </font>
    <font>
      <sz val="12"/>
      <name val="Arial"/>
      <family val="2"/>
    </font>
    <font>
      <b/>
      <sz val="12"/>
      <color rgb="FF000000"/>
      <name val="Arial"/>
      <family val="2"/>
    </font>
    <font>
      <sz val="7"/>
      <color theme="1"/>
      <name val="Arial"/>
      <family val="2"/>
    </font>
    <font>
      <b/>
      <sz val="11"/>
      <color indexed="8"/>
      <name val="Cambria"/>
      <family val="1"/>
    </font>
    <font>
      <sz val="11"/>
      <color theme="1"/>
      <name val="Cambria"/>
      <family val="1"/>
    </font>
    <font>
      <b/>
      <sz val="11"/>
      <color theme="1"/>
      <name val="Cambria"/>
      <family val="1"/>
    </font>
    <font>
      <sz val="10"/>
      <color theme="1"/>
      <name val="Cambria"/>
      <family val="1"/>
    </font>
  </fonts>
  <fills count="3">
    <fill>
      <patternFill patternType="none"/>
    </fill>
    <fill>
      <patternFill patternType="gray125"/>
    </fill>
    <fill>
      <patternFill patternType="solid">
        <fgColor theme="7"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70">
    <xf numFmtId="0" fontId="0" fillId="0" borderId="0" xfId="0"/>
    <xf numFmtId="0" fontId="2" fillId="0" borderId="0" xfId="0" applyFont="1"/>
    <xf numFmtId="165" fontId="2" fillId="0" borderId="0" xfId="1" applyNumberFormat="1" applyFont="1" applyFill="1"/>
    <xf numFmtId="0" fontId="2" fillId="0" borderId="0" xfId="0" applyFont="1" applyAlignment="1">
      <alignment horizontal="center"/>
    </xf>
    <xf numFmtId="0" fontId="5" fillId="0" borderId="1" xfId="0" applyFont="1" applyBorder="1" applyAlignment="1">
      <alignment horizontal="right"/>
    </xf>
    <xf numFmtId="0" fontId="4" fillId="0" borderId="1" xfId="0" applyFont="1" applyBorder="1"/>
    <xf numFmtId="0" fontId="4" fillId="0" borderId="1" xfId="0" applyFont="1" applyBorder="1" applyAlignment="1">
      <alignment horizont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4" fillId="0" borderId="1" xfId="0" applyFont="1" applyBorder="1" applyAlignment="1">
      <alignment horizontal="justify" vertical="center"/>
    </xf>
    <xf numFmtId="1" fontId="4"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0" fontId="4" fillId="0" borderId="1" xfId="0" applyFont="1" applyBorder="1" applyAlignment="1">
      <alignment horizontal="justify" vertical="center" wrapText="1"/>
    </xf>
    <xf numFmtId="0" fontId="5" fillId="0" borderId="1" xfId="0" applyFont="1" applyBorder="1" applyAlignment="1">
      <alignment horizontal="justify" vertical="center"/>
    </xf>
    <xf numFmtId="0" fontId="4" fillId="0" borderId="5" xfId="0" applyFont="1" applyBorder="1"/>
    <xf numFmtId="0" fontId="5" fillId="0" borderId="5" xfId="0" applyFont="1" applyBorder="1" applyAlignment="1">
      <alignment horizontal="right"/>
    </xf>
    <xf numFmtId="0" fontId="4" fillId="0" borderId="5" xfId="0" applyFont="1" applyBorder="1" applyAlignment="1">
      <alignment horizontal="center"/>
    </xf>
    <xf numFmtId="0" fontId="4" fillId="0" borderId="1" xfId="0" applyFont="1" applyBorder="1" applyAlignment="1">
      <alignment horizontal="justify" vertical="top" wrapText="1"/>
    </xf>
    <xf numFmtId="0" fontId="4" fillId="0" borderId="1" xfId="0" applyFont="1" applyBorder="1" applyAlignment="1">
      <alignment horizontal="left"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165" fontId="5" fillId="0" borderId="1" xfId="1" applyNumberFormat="1" applyFont="1" applyFill="1" applyBorder="1" applyAlignment="1">
      <alignment horizontal="center" vertical="center"/>
    </xf>
    <xf numFmtId="0" fontId="5" fillId="0" borderId="1" xfId="0" applyFont="1" applyBorder="1" applyAlignment="1">
      <alignment horizontal="justify" vertical="center" wrapText="1"/>
    </xf>
    <xf numFmtId="0" fontId="3" fillId="2" borderId="1" xfId="0" applyFont="1" applyFill="1" applyBorder="1" applyAlignment="1">
      <alignment horizontal="right" vertical="center" wrapText="1"/>
    </xf>
    <xf numFmtId="0" fontId="7" fillId="2" borderId="1" xfId="0" applyFont="1" applyFill="1" applyBorder="1" applyAlignment="1">
      <alignment horizontal="center" vertical="center"/>
    </xf>
    <xf numFmtId="0" fontId="4" fillId="0" borderId="1" xfId="0" applyFont="1" applyBorder="1" applyAlignment="1">
      <alignment horizontal="left" vertical="top" wrapText="1"/>
    </xf>
    <xf numFmtId="0" fontId="8" fillId="0" borderId="1" xfId="0" applyFont="1" applyBorder="1" applyAlignment="1">
      <alignment horizontal="left" vertical="center" wrapText="1"/>
    </xf>
    <xf numFmtId="165" fontId="5" fillId="0" borderId="1" xfId="1" applyNumberFormat="1" applyFont="1" applyBorder="1" applyAlignment="1">
      <alignment horizontal="center" vertical="center"/>
    </xf>
    <xf numFmtId="165" fontId="4" fillId="0" borderId="1" xfId="1" applyNumberFormat="1" applyFont="1" applyBorder="1" applyAlignment="1">
      <alignment horizontal="center" vertical="center"/>
    </xf>
    <xf numFmtId="165" fontId="4" fillId="0" borderId="1" xfId="1" applyNumberFormat="1" applyFont="1" applyFill="1" applyBorder="1" applyAlignment="1">
      <alignment horizontal="center" vertical="center"/>
    </xf>
    <xf numFmtId="165" fontId="4" fillId="0" borderId="1" xfId="1" applyNumberFormat="1" applyFont="1" applyBorder="1" applyAlignment="1">
      <alignment horizontal="center" vertical="center" wrapText="1"/>
    </xf>
    <xf numFmtId="165" fontId="4" fillId="0" borderId="1" xfId="1" applyNumberFormat="1" applyFont="1" applyFill="1" applyBorder="1" applyAlignment="1">
      <alignment horizontal="center"/>
    </xf>
    <xf numFmtId="165" fontId="7" fillId="2" borderId="1" xfId="1" applyNumberFormat="1" applyFont="1" applyFill="1" applyBorder="1" applyAlignment="1">
      <alignment horizontal="center" vertical="center"/>
    </xf>
    <xf numFmtId="165" fontId="3" fillId="2" borderId="1" xfId="1" applyNumberFormat="1" applyFont="1" applyFill="1" applyBorder="1" applyAlignment="1">
      <alignment horizontal="center" vertical="center"/>
    </xf>
    <xf numFmtId="1" fontId="4" fillId="0" borderId="6" xfId="0" applyNumberFormat="1" applyFont="1" applyBorder="1" applyAlignment="1">
      <alignment horizontal="center" vertical="center"/>
    </xf>
    <xf numFmtId="1" fontId="4" fillId="0" borderId="5" xfId="0" applyNumberFormat="1" applyFont="1" applyBorder="1" applyAlignment="1">
      <alignment horizontal="center" vertical="center"/>
    </xf>
    <xf numFmtId="0" fontId="6" fillId="0" borderId="5" xfId="0" applyFont="1" applyBorder="1" applyAlignment="1">
      <alignment horizontal="center" vertical="center"/>
    </xf>
    <xf numFmtId="0" fontId="4" fillId="0" borderId="5" xfId="0" applyFont="1" applyBorder="1" applyAlignment="1">
      <alignment horizontal="justify" vertical="center" wrapText="1"/>
    </xf>
    <xf numFmtId="0" fontId="10" fillId="0" borderId="0" xfId="0" applyFont="1" applyAlignment="1">
      <alignment horizontal="center"/>
    </xf>
    <xf numFmtId="0" fontId="11" fillId="0" borderId="0" xfId="0" applyFont="1" applyAlignment="1">
      <alignment horizontal="center"/>
    </xf>
    <xf numFmtId="0" fontId="11" fillId="0" borderId="0" xfId="0" applyFont="1" applyAlignment="1">
      <alignment horizontal="right" vertical="top"/>
    </xf>
    <xf numFmtId="0" fontId="12" fillId="0" borderId="0" xfId="0" applyFont="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3" fillId="0" borderId="0" xfId="0" applyFont="1" applyAlignment="1">
      <alignment horizontal="right" vertical="top"/>
    </xf>
    <xf numFmtId="0" fontId="11" fillId="0" borderId="0" xfId="0" applyFont="1"/>
    <xf numFmtId="0" fontId="10" fillId="0" borderId="0" xfId="0" applyFont="1" applyAlignment="1">
      <alignment horizontal="left"/>
    </xf>
    <xf numFmtId="166" fontId="11" fillId="0" borderId="0" xfId="0" applyNumberFormat="1" applyFont="1"/>
    <xf numFmtId="0" fontId="12" fillId="0" borderId="1" xfId="0" applyFont="1" applyBorder="1" applyAlignment="1">
      <alignment horizontal="left" vertical="center" wrapText="1"/>
    </xf>
    <xf numFmtId="0" fontId="12" fillId="0" borderId="1" xfId="0" applyFont="1" applyBorder="1"/>
    <xf numFmtId="0" fontId="12" fillId="0" borderId="1" xfId="0" applyFont="1" applyBorder="1" applyAlignment="1">
      <alignment horizontal="left" vertical="center"/>
    </xf>
    <xf numFmtId="0" fontId="10" fillId="0" borderId="1" xfId="0" applyFont="1" applyBorder="1" applyAlignment="1">
      <alignment horizontal="left" vertical="center"/>
    </xf>
    <xf numFmtId="0" fontId="12" fillId="0" borderId="1" xfId="0" quotePrefix="1" applyFont="1" applyBorder="1"/>
    <xf numFmtId="0" fontId="12" fillId="0" borderId="0" xfId="0" applyFont="1" applyAlignment="1">
      <alignment horizontal="left" vertical="center" wrapText="1"/>
    </xf>
    <xf numFmtId="0" fontId="10" fillId="0" borderId="1" xfId="0" applyFont="1" applyBorder="1" applyAlignment="1">
      <alignment horizontal="center"/>
    </xf>
    <xf numFmtId="0" fontId="11" fillId="0" borderId="0" xfId="0" applyFont="1" applyAlignment="1">
      <alignment horizontal="left" vertical="center" wrapText="1"/>
    </xf>
    <xf numFmtId="0" fontId="12" fillId="0" borderId="0" xfId="0" applyFont="1" applyAlignment="1">
      <alignment horizontal="left" vertical="top" wrapText="1"/>
    </xf>
    <xf numFmtId="0" fontId="11" fillId="0" borderId="0" xfId="0" applyFont="1" applyAlignment="1">
      <alignment horizontal="left" vertical="center"/>
    </xf>
    <xf numFmtId="165" fontId="5" fillId="2" borderId="1" xfId="1" applyNumberFormat="1" applyFont="1" applyFill="1" applyBorder="1" applyAlignment="1">
      <alignment horizontal="center" vertical="center"/>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165" fontId="8" fillId="0" borderId="1" xfId="1" applyNumberFormat="1" applyFont="1" applyBorder="1" applyAlignment="1">
      <alignment horizontal="center" vertical="top" wrapText="1"/>
    </xf>
  </cellXfs>
  <cellStyles count="3">
    <cellStyle name="Comma" xfId="1" builtinId="3"/>
    <cellStyle name="Comma 2 2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adityabirla-my.sharepoint.com/Users/prathamesh.desai/Documents/Prathamesh%20Desai/solitaire/R3%2015-12-13%20REV.%20Separated%20as%20Wing-A,B%20&amp;%20Substruct%20(Final)%20-%20Compare%20with%20R2A170613/2a.%20K%20Solitaire%20Wing%20A%20%20R3%2015-10-2013.xls?90F25685" TargetMode="External"/><Relationship Id="rId1" Type="http://schemas.openxmlformats.org/officeDocument/2006/relationships/externalLinkPath" Target="file:///\\90F25685\2a.%20K%20Solitaire%20Wing%20A%20%20R3%2015-10-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dg. Summ R3-R2A"/>
      <sheetName val="Summary"/>
      <sheetName val="SMP Work"/>
      <sheetName val="Civil BOQ"/>
      <sheetName val="Mivan Cost"/>
      <sheetName val="POP Cornice"/>
      <sheetName val="False ceiling-Refuge soffit"/>
      <sheetName val="Windows &amp; Metal works."/>
      <sheetName val="Grill work "/>
      <sheetName val="Doors-Summary"/>
      <sheetName val="Doors-Com Area"/>
      <sheetName val="Doors-Tenant"/>
      <sheetName val="Doors-Sale"/>
      <sheetName val="Door Working"/>
      <sheetName val="Safety door"/>
      <sheetName val="Flooring - Summary"/>
      <sheetName val="Flr Comm area"/>
      <sheetName val="Flr Tenants"/>
      <sheetName val="Flr- Sale"/>
      <sheetName val="Main Entr Lobby"/>
      <sheetName val="Ac for Society Office"/>
      <sheetName val="Fins working"/>
      <sheetName val="Al Glass Railing"/>
      <sheetName val="Waterproofing"/>
      <sheetName val="Plumb- Labour"/>
      <sheetName val="Painting-Summary"/>
      <sheetName val="Int Paint"/>
      <sheetName val="Ext. Paint"/>
      <sheetName val="Lift"/>
      <sheetName val="Misc"/>
      <sheetName val="Canopy "/>
      <sheetName val="Electrical"/>
      <sheetName val="PAS-FAS"/>
      <sheetName val="Plumb-Member"/>
      <sheetName val="Plumb- Sales"/>
      <sheetName val="Glass Partition Toi"/>
      <sheetName val="VDP-Tenant"/>
      <sheetName val="Home automation-Sales"/>
      <sheetName val="Fan.Tube.Exhaust-Tenants"/>
      <sheetName val="Exhaust Fan -Sale"/>
      <sheetName val="Modular Kitchen"/>
      <sheetName val="Stage 2 work"/>
      <sheetName val="Flat Configuartion"/>
      <sheetName val="Sheet2"/>
      <sheetName val="Material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6">
          <cell r="E6">
            <v>270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pageSetUpPr fitToPage="1"/>
  </sheetPr>
  <dimension ref="A1:I75"/>
  <sheetViews>
    <sheetView tabSelected="1" view="pageBreakPreview" zoomScale="85" zoomScaleNormal="85" zoomScaleSheetLayoutView="85" workbookViewId="0">
      <pane ySplit="6" topLeftCell="A45" activePane="bottomLeft" state="frozen"/>
      <selection activeCell="D51" sqref="D51"/>
      <selection pane="bottomLeft" activeCell="A53" sqref="A53"/>
    </sheetView>
  </sheetViews>
  <sheetFormatPr defaultColWidth="9" defaultRowHeight="17.25" customHeight="1" outlineLevelRow="1" x14ac:dyDescent="0.3"/>
  <cols>
    <col min="1" max="1" width="15" style="1" customWidth="1"/>
    <col min="2" max="2" width="78.6640625" style="1" customWidth="1"/>
    <col min="3" max="3" width="11.77734375" style="3" customWidth="1"/>
    <col min="4" max="4" width="15.21875" style="1" customWidth="1"/>
    <col min="5" max="5" width="14.5546875" style="2" bestFit="1" customWidth="1"/>
    <col min="6" max="6" width="15.109375" style="2" bestFit="1" customWidth="1"/>
    <col min="7" max="7" width="10.77734375" style="1" customWidth="1"/>
    <col min="8" max="8" width="16.21875" style="1" customWidth="1"/>
    <col min="9" max="16384" width="9" style="1"/>
  </cols>
  <sheetData>
    <row r="1" spans="1:9" ht="24.6" customHeight="1" x14ac:dyDescent="0.3">
      <c r="A1" s="1">
        <v>11</v>
      </c>
    </row>
    <row r="2" spans="1:9" ht="19.5" customHeight="1" x14ac:dyDescent="0.3">
      <c r="A2" s="59" t="s">
        <v>15</v>
      </c>
      <c r="B2" s="59"/>
      <c r="C2" s="59"/>
      <c r="D2" s="59"/>
      <c r="E2" s="59"/>
      <c r="F2" s="59"/>
    </row>
    <row r="3" spans="1:9" ht="19.5" customHeight="1" x14ac:dyDescent="0.3">
      <c r="A3" s="63" t="s">
        <v>86</v>
      </c>
      <c r="B3" s="64"/>
      <c r="C3" s="64"/>
      <c r="D3" s="64"/>
      <c r="E3" s="64"/>
      <c r="F3" s="65"/>
    </row>
    <row r="4" spans="1:9" ht="16.5" customHeight="1" x14ac:dyDescent="0.3">
      <c r="A4" s="66" t="s">
        <v>87</v>
      </c>
      <c r="B4" s="67"/>
      <c r="C4" s="67"/>
      <c r="D4" s="68"/>
      <c r="E4" s="69"/>
      <c r="F4" s="69"/>
    </row>
    <row r="5" spans="1:9" ht="17.25" customHeight="1" x14ac:dyDescent="0.3">
      <c r="A5" s="60" t="s">
        <v>0</v>
      </c>
      <c r="B5" s="61" t="s">
        <v>1</v>
      </c>
      <c r="C5" s="60" t="s">
        <v>2</v>
      </c>
      <c r="D5" s="62" t="s">
        <v>16</v>
      </c>
      <c r="E5" s="58" t="s">
        <v>17</v>
      </c>
      <c r="F5" s="58" t="s">
        <v>18</v>
      </c>
    </row>
    <row r="6" spans="1:9" ht="9" customHeight="1" x14ac:dyDescent="0.3">
      <c r="A6" s="60"/>
      <c r="B6" s="61"/>
      <c r="C6" s="60"/>
      <c r="D6" s="62"/>
      <c r="E6" s="58"/>
      <c r="F6" s="58"/>
    </row>
    <row r="7" spans="1:9" ht="22.95" customHeight="1" x14ac:dyDescent="0.3">
      <c r="A7" s="19" t="s">
        <v>31</v>
      </c>
      <c r="B7" s="26" t="s">
        <v>32</v>
      </c>
      <c r="C7" s="19"/>
      <c r="D7" s="20"/>
      <c r="E7" s="27"/>
      <c r="F7" s="21"/>
    </row>
    <row r="8" spans="1:9" ht="90.6" customHeight="1" outlineLevel="1" x14ac:dyDescent="0.3">
      <c r="A8" s="8">
        <v>1</v>
      </c>
      <c r="B8" s="12" t="s">
        <v>19</v>
      </c>
      <c r="C8" s="8" t="s">
        <v>13</v>
      </c>
      <c r="D8" s="10"/>
      <c r="E8" s="28"/>
      <c r="F8" s="29">
        <f>E8*D8</f>
        <v>0</v>
      </c>
    </row>
    <row r="9" spans="1:9" ht="40.5" customHeight="1" outlineLevel="1" x14ac:dyDescent="0.3">
      <c r="A9" s="8">
        <v>2</v>
      </c>
      <c r="B9" s="12" t="s">
        <v>6</v>
      </c>
      <c r="C9" s="8" t="s">
        <v>5</v>
      </c>
      <c r="D9" s="10"/>
      <c r="E9" s="28"/>
      <c r="F9" s="29">
        <f t="shared" ref="F9:F16" si="0">E9*D9</f>
        <v>0</v>
      </c>
    </row>
    <row r="10" spans="1:9" ht="65.55" customHeight="1" outlineLevel="1" x14ac:dyDescent="0.3">
      <c r="A10" s="8">
        <v>3</v>
      </c>
      <c r="B10" s="17" t="s">
        <v>28</v>
      </c>
      <c r="C10" s="7" t="s">
        <v>3</v>
      </c>
      <c r="D10" s="11"/>
      <c r="E10" s="29"/>
      <c r="F10" s="29">
        <f t="shared" si="0"/>
        <v>0</v>
      </c>
    </row>
    <row r="11" spans="1:9" ht="82.2" customHeight="1" outlineLevel="1" x14ac:dyDescent="0.3">
      <c r="A11" s="8">
        <v>4</v>
      </c>
      <c r="B11" s="25" t="s">
        <v>29</v>
      </c>
      <c r="C11" s="8" t="s">
        <v>3</v>
      </c>
      <c r="D11" s="11"/>
      <c r="E11" s="29"/>
      <c r="F11" s="29">
        <f t="shared" si="0"/>
        <v>0</v>
      </c>
    </row>
    <row r="12" spans="1:9" ht="57.75" customHeight="1" outlineLevel="1" x14ac:dyDescent="0.3">
      <c r="A12" s="8">
        <v>5</v>
      </c>
      <c r="B12" s="12" t="s">
        <v>20</v>
      </c>
      <c r="C12" s="8" t="s">
        <v>5</v>
      </c>
      <c r="D12" s="10"/>
      <c r="E12" s="30"/>
      <c r="F12" s="29">
        <f t="shared" si="0"/>
        <v>0</v>
      </c>
      <c r="I12" s="1">
        <f>36/9</f>
        <v>4</v>
      </c>
    </row>
    <row r="13" spans="1:9" ht="42" customHeight="1" outlineLevel="1" x14ac:dyDescent="0.3">
      <c r="A13" s="8">
        <v>6</v>
      </c>
      <c r="B13" s="12" t="s">
        <v>23</v>
      </c>
      <c r="C13" s="8" t="s">
        <v>5</v>
      </c>
      <c r="D13" s="10"/>
      <c r="E13" s="30"/>
      <c r="F13" s="29">
        <f t="shared" si="0"/>
        <v>0</v>
      </c>
    </row>
    <row r="14" spans="1:9" ht="49.5" customHeight="1" outlineLevel="1" x14ac:dyDescent="0.3">
      <c r="A14" s="8">
        <v>7</v>
      </c>
      <c r="B14" s="12" t="s">
        <v>7</v>
      </c>
      <c r="C14" s="8" t="s">
        <v>5</v>
      </c>
      <c r="D14" s="10"/>
      <c r="E14" s="30"/>
      <c r="F14" s="29">
        <f t="shared" si="0"/>
        <v>0</v>
      </c>
    </row>
    <row r="15" spans="1:9" ht="56.25" customHeight="1" outlineLevel="1" x14ac:dyDescent="0.3">
      <c r="A15" s="8">
        <v>8</v>
      </c>
      <c r="B15" s="12" t="s">
        <v>48</v>
      </c>
      <c r="C15" s="8" t="s">
        <v>5</v>
      </c>
      <c r="D15" s="10"/>
      <c r="E15" s="29"/>
      <c r="F15" s="29">
        <f t="shared" si="0"/>
        <v>0</v>
      </c>
    </row>
    <row r="16" spans="1:9" ht="25.95" customHeight="1" outlineLevel="1" x14ac:dyDescent="0.3">
      <c r="A16" s="8">
        <v>9</v>
      </c>
      <c r="B16" s="12" t="s">
        <v>30</v>
      </c>
      <c r="C16" s="8" t="s">
        <v>5</v>
      </c>
      <c r="D16" s="10"/>
      <c r="E16" s="29"/>
      <c r="F16" s="29">
        <f t="shared" si="0"/>
        <v>0</v>
      </c>
    </row>
    <row r="17" spans="1:6" ht="25.95" customHeight="1" outlineLevel="1" x14ac:dyDescent="0.3">
      <c r="A17" s="19" t="s">
        <v>33</v>
      </c>
      <c r="B17" s="22" t="s">
        <v>34</v>
      </c>
      <c r="C17" s="8"/>
      <c r="D17" s="10"/>
      <c r="E17" s="29"/>
      <c r="F17" s="29"/>
    </row>
    <row r="18" spans="1:6" ht="24.75" customHeight="1" outlineLevel="1" x14ac:dyDescent="0.3">
      <c r="A18" s="8">
        <v>1</v>
      </c>
      <c r="B18" s="13" t="s">
        <v>8</v>
      </c>
      <c r="C18" s="8"/>
      <c r="D18" s="10"/>
      <c r="E18" s="29"/>
      <c r="F18" s="29"/>
    </row>
    <row r="19" spans="1:6" ht="22.5" customHeight="1" outlineLevel="1" x14ac:dyDescent="0.3">
      <c r="A19" s="8"/>
      <c r="B19" s="9" t="s">
        <v>24</v>
      </c>
      <c r="C19" s="8" t="s">
        <v>5</v>
      </c>
      <c r="D19" s="34"/>
      <c r="E19" s="29"/>
      <c r="F19" s="29">
        <f>E19*D19</f>
        <v>0</v>
      </c>
    </row>
    <row r="20" spans="1:6" ht="21" customHeight="1" outlineLevel="1" x14ac:dyDescent="0.3">
      <c r="A20" s="8"/>
      <c r="B20" s="9" t="s">
        <v>11</v>
      </c>
      <c r="C20" s="8" t="s">
        <v>5</v>
      </c>
      <c r="D20" s="34"/>
      <c r="E20" s="29"/>
      <c r="F20" s="29">
        <f t="shared" ref="F20:F25" si="1">E20*D20</f>
        <v>0</v>
      </c>
    </row>
    <row r="21" spans="1:6" ht="23.25" customHeight="1" outlineLevel="1" x14ac:dyDescent="0.3">
      <c r="A21" s="8"/>
      <c r="B21" s="18" t="s">
        <v>35</v>
      </c>
      <c r="C21" s="8" t="s">
        <v>5</v>
      </c>
      <c r="D21" s="34"/>
      <c r="E21" s="29"/>
      <c r="F21" s="29">
        <f t="shared" si="1"/>
        <v>0</v>
      </c>
    </row>
    <row r="22" spans="1:6" ht="30.6" customHeight="1" outlineLevel="1" x14ac:dyDescent="0.3">
      <c r="A22" s="8"/>
      <c r="B22" s="9" t="s">
        <v>36</v>
      </c>
      <c r="C22" s="8" t="s">
        <v>5</v>
      </c>
      <c r="D22" s="34"/>
      <c r="E22" s="29"/>
      <c r="F22" s="29">
        <f t="shared" si="1"/>
        <v>0</v>
      </c>
    </row>
    <row r="23" spans="1:6" ht="23.55" customHeight="1" outlineLevel="1" x14ac:dyDescent="0.3">
      <c r="A23" s="8"/>
      <c r="B23" s="9" t="s">
        <v>25</v>
      </c>
      <c r="C23" s="8" t="s">
        <v>5</v>
      </c>
      <c r="D23" s="34"/>
      <c r="E23" s="29"/>
      <c r="F23" s="29">
        <f t="shared" si="1"/>
        <v>0</v>
      </c>
    </row>
    <row r="24" spans="1:6" ht="23.55" customHeight="1" outlineLevel="1" x14ac:dyDescent="0.3">
      <c r="A24" s="8"/>
      <c r="B24" s="9" t="s">
        <v>21</v>
      </c>
      <c r="C24" s="8" t="s">
        <v>5</v>
      </c>
      <c r="D24" s="34"/>
      <c r="E24" s="29"/>
      <c r="F24" s="29">
        <f t="shared" si="1"/>
        <v>0</v>
      </c>
    </row>
    <row r="25" spans="1:6" ht="23.55" customHeight="1" outlineLevel="1" x14ac:dyDescent="0.3">
      <c r="A25" s="8"/>
      <c r="B25" s="9" t="s">
        <v>22</v>
      </c>
      <c r="C25" s="8" t="s">
        <v>5</v>
      </c>
      <c r="D25" s="34"/>
      <c r="E25" s="29"/>
      <c r="F25" s="29">
        <f t="shared" si="1"/>
        <v>0</v>
      </c>
    </row>
    <row r="26" spans="1:6" ht="23.55" customHeight="1" outlineLevel="1" x14ac:dyDescent="0.3">
      <c r="A26" s="8"/>
      <c r="B26" s="9" t="s">
        <v>37</v>
      </c>
      <c r="C26" s="8" t="s">
        <v>5</v>
      </c>
      <c r="D26" s="34"/>
      <c r="E26" s="29"/>
      <c r="F26" s="29">
        <f>E26*D26</f>
        <v>0</v>
      </c>
    </row>
    <row r="27" spans="1:6" ht="27.75" customHeight="1" outlineLevel="1" x14ac:dyDescent="0.3">
      <c r="A27" s="8">
        <v>2</v>
      </c>
      <c r="B27" s="13" t="s">
        <v>9</v>
      </c>
      <c r="C27" s="8"/>
      <c r="D27" s="10"/>
      <c r="E27" s="29"/>
      <c r="F27" s="29"/>
    </row>
    <row r="28" spans="1:6" ht="23.25" customHeight="1" outlineLevel="1" x14ac:dyDescent="0.3">
      <c r="A28" s="8"/>
      <c r="B28" s="9" t="s">
        <v>26</v>
      </c>
      <c r="C28" s="8" t="s">
        <v>5</v>
      </c>
      <c r="D28" s="34"/>
      <c r="E28" s="29"/>
      <c r="F28" s="29">
        <f>E28*D28</f>
        <v>0</v>
      </c>
    </row>
    <row r="29" spans="1:6" ht="23.25" customHeight="1" outlineLevel="1" x14ac:dyDescent="0.3">
      <c r="A29" s="8"/>
      <c r="B29" s="9" t="s">
        <v>27</v>
      </c>
      <c r="C29" s="8" t="s">
        <v>5</v>
      </c>
      <c r="D29" s="34"/>
      <c r="E29" s="29"/>
      <c r="F29" s="29">
        <f t="shared" ref="F29:F38" si="2">E29*D29</f>
        <v>0</v>
      </c>
    </row>
    <row r="30" spans="1:6" ht="23.25" customHeight="1" outlineLevel="1" x14ac:dyDescent="0.3">
      <c r="A30" s="8"/>
      <c r="B30" s="18" t="s">
        <v>12</v>
      </c>
      <c r="C30" s="8" t="s">
        <v>5</v>
      </c>
      <c r="D30" s="34"/>
      <c r="E30" s="29"/>
      <c r="F30" s="29">
        <f t="shared" si="2"/>
        <v>0</v>
      </c>
    </row>
    <row r="31" spans="1:6" ht="23.25" customHeight="1" outlineLevel="1" x14ac:dyDescent="0.3">
      <c r="A31" s="8"/>
      <c r="B31" s="18" t="s">
        <v>38</v>
      </c>
      <c r="C31" s="8" t="s">
        <v>5</v>
      </c>
      <c r="D31" s="34"/>
      <c r="E31" s="29"/>
      <c r="F31" s="29">
        <f t="shared" si="2"/>
        <v>0</v>
      </c>
    </row>
    <row r="32" spans="1:6" ht="29.55" customHeight="1" outlineLevel="1" x14ac:dyDescent="0.3">
      <c r="A32" s="8"/>
      <c r="B32" s="9" t="s">
        <v>39</v>
      </c>
      <c r="C32" s="8" t="s">
        <v>5</v>
      </c>
      <c r="D32" s="34"/>
      <c r="E32" s="29"/>
      <c r="F32" s="29">
        <f t="shared" si="2"/>
        <v>0</v>
      </c>
    </row>
    <row r="33" spans="1:6" ht="36" customHeight="1" outlineLevel="1" x14ac:dyDescent="0.3">
      <c r="A33" s="8"/>
      <c r="B33" s="9" t="s">
        <v>40</v>
      </c>
      <c r="C33" s="8" t="s">
        <v>5</v>
      </c>
      <c r="D33" s="34"/>
      <c r="E33" s="29"/>
      <c r="F33" s="29">
        <f t="shared" si="2"/>
        <v>0</v>
      </c>
    </row>
    <row r="34" spans="1:6" ht="36.6" customHeight="1" outlineLevel="1" x14ac:dyDescent="0.3">
      <c r="A34" s="8"/>
      <c r="B34" s="9" t="s">
        <v>41</v>
      </c>
      <c r="C34" s="8" t="s">
        <v>5</v>
      </c>
      <c r="D34" s="34"/>
      <c r="E34" s="29"/>
      <c r="F34" s="29">
        <f t="shared" si="2"/>
        <v>0</v>
      </c>
    </row>
    <row r="35" spans="1:6" ht="40.950000000000003" customHeight="1" outlineLevel="1" x14ac:dyDescent="0.3">
      <c r="A35" s="8"/>
      <c r="B35" s="9" t="s">
        <v>42</v>
      </c>
      <c r="C35" s="8" t="s">
        <v>5</v>
      </c>
      <c r="D35" s="34"/>
      <c r="E35" s="29"/>
      <c r="F35" s="29" t="s">
        <v>51</v>
      </c>
    </row>
    <row r="36" spans="1:6" ht="23.25" customHeight="1" outlineLevel="1" x14ac:dyDescent="0.3">
      <c r="A36" s="8">
        <v>3</v>
      </c>
      <c r="B36" s="12" t="s">
        <v>43</v>
      </c>
      <c r="C36" s="8" t="s">
        <v>5</v>
      </c>
      <c r="D36" s="10"/>
      <c r="E36" s="29"/>
      <c r="F36" s="29">
        <f t="shared" si="2"/>
        <v>0</v>
      </c>
    </row>
    <row r="37" spans="1:6" ht="98.55" customHeight="1" outlineLevel="1" x14ac:dyDescent="0.3">
      <c r="A37" s="8" t="s">
        <v>44</v>
      </c>
      <c r="B37" s="12" t="s">
        <v>10</v>
      </c>
      <c r="C37" s="8" t="s">
        <v>14</v>
      </c>
      <c r="D37" s="10"/>
      <c r="E37" s="29"/>
      <c r="F37" s="29">
        <f t="shared" si="2"/>
        <v>0</v>
      </c>
    </row>
    <row r="38" spans="1:6" ht="33.75" customHeight="1" outlineLevel="1" x14ac:dyDescent="0.3">
      <c r="A38" s="36" t="s">
        <v>49</v>
      </c>
      <c r="B38" s="37" t="s">
        <v>50</v>
      </c>
      <c r="C38" s="36" t="s">
        <v>14</v>
      </c>
      <c r="D38" s="35"/>
      <c r="E38" s="29"/>
      <c r="F38" s="29">
        <f t="shared" si="2"/>
        <v>0</v>
      </c>
    </row>
    <row r="39" spans="1:6" ht="22.95" customHeight="1" outlineLevel="1" x14ac:dyDescent="0.3">
      <c r="A39" s="14"/>
      <c r="B39" s="15" t="s">
        <v>45</v>
      </c>
      <c r="C39" s="16"/>
      <c r="D39" s="16"/>
      <c r="E39" s="31"/>
      <c r="F39" s="31">
        <f>SUM(F8:F38)</f>
        <v>0</v>
      </c>
    </row>
    <row r="40" spans="1:6" ht="18.600000000000001" customHeight="1" outlineLevel="1" x14ac:dyDescent="0.3">
      <c r="A40" s="5"/>
      <c r="B40" s="4" t="s">
        <v>46</v>
      </c>
      <c r="C40" s="6"/>
      <c r="D40" s="6"/>
      <c r="E40" s="31"/>
      <c r="F40" s="31">
        <f>F39*9/100</f>
        <v>0</v>
      </c>
    </row>
    <row r="41" spans="1:6" ht="24" customHeight="1" outlineLevel="1" x14ac:dyDescent="0.3">
      <c r="A41" s="5"/>
      <c r="B41" s="4" t="s">
        <v>47</v>
      </c>
      <c r="C41" s="6"/>
      <c r="D41" s="6"/>
      <c r="E41" s="31"/>
      <c r="F41" s="31">
        <f>F39*9/100</f>
        <v>0</v>
      </c>
    </row>
    <row r="42" spans="1:6" ht="22.2" customHeight="1" outlineLevel="1" x14ac:dyDescent="0.3">
      <c r="A42" s="24"/>
      <c r="B42" s="23" t="s">
        <v>4</v>
      </c>
      <c r="C42" s="24"/>
      <c r="D42" s="24"/>
      <c r="E42" s="32"/>
      <c r="F42" s="33">
        <f>SUM(F39:F41)</f>
        <v>0</v>
      </c>
    </row>
    <row r="45" spans="1:6" ht="17.25" customHeight="1" x14ac:dyDescent="0.3">
      <c r="A45" s="38" t="s">
        <v>52</v>
      </c>
      <c r="B45" s="39"/>
      <c r="C45" s="39"/>
      <c r="D45" s="39"/>
      <c r="E45" s="39"/>
      <c r="F45" s="39"/>
    </row>
    <row r="46" spans="1:6" ht="36" customHeight="1" x14ac:dyDescent="0.3">
      <c r="A46" s="40">
        <v>1</v>
      </c>
      <c r="B46" s="56" t="s">
        <v>53</v>
      </c>
      <c r="C46" s="56"/>
      <c r="D46" s="56"/>
      <c r="E46" s="56"/>
      <c r="F46" s="56"/>
    </row>
    <row r="47" spans="1:6" ht="17.25" customHeight="1" x14ac:dyDescent="0.3">
      <c r="A47" s="40">
        <v>2</v>
      </c>
      <c r="B47" s="56" t="s">
        <v>54</v>
      </c>
      <c r="C47" s="56"/>
      <c r="D47" s="56"/>
      <c r="E47" s="56"/>
      <c r="F47" s="56"/>
    </row>
    <row r="48" spans="1:6" ht="17.25" customHeight="1" x14ac:dyDescent="0.3">
      <c r="A48" s="40">
        <v>3</v>
      </c>
      <c r="B48" s="42" t="s">
        <v>55</v>
      </c>
      <c r="C48" s="42"/>
      <c r="D48" s="42"/>
      <c r="E48" s="42"/>
      <c r="F48" s="42"/>
    </row>
    <row r="49" spans="1:6" ht="17.25" customHeight="1" x14ac:dyDescent="0.3">
      <c r="A49" s="40">
        <v>4</v>
      </c>
      <c r="B49" s="42" t="s">
        <v>56</v>
      </c>
      <c r="C49" s="42"/>
      <c r="D49" s="42"/>
      <c r="E49" s="42"/>
      <c r="F49" s="42"/>
    </row>
    <row r="50" spans="1:6" ht="17.25" customHeight="1" x14ac:dyDescent="0.3">
      <c r="A50" s="40">
        <v>5</v>
      </c>
      <c r="B50" s="42" t="s">
        <v>57</v>
      </c>
      <c r="C50" s="42"/>
      <c r="D50" s="42"/>
      <c r="E50" s="42"/>
      <c r="F50" s="42"/>
    </row>
    <row r="51" spans="1:6" ht="17.25" customHeight="1" x14ac:dyDescent="0.3">
      <c r="A51" s="40">
        <v>6</v>
      </c>
      <c r="B51" s="55" t="s">
        <v>58</v>
      </c>
      <c r="C51" s="55"/>
      <c r="D51" s="55"/>
      <c r="E51" s="55"/>
      <c r="F51" s="55"/>
    </row>
    <row r="52" spans="1:6" ht="17.25" customHeight="1" x14ac:dyDescent="0.3">
      <c r="A52" s="40">
        <v>7</v>
      </c>
      <c r="B52" s="57" t="s">
        <v>59</v>
      </c>
      <c r="C52" s="57"/>
      <c r="D52" s="57"/>
      <c r="E52" s="57"/>
      <c r="F52" s="57"/>
    </row>
    <row r="53" spans="1:6" ht="17.25" customHeight="1" x14ac:dyDescent="0.3">
      <c r="A53" s="40">
        <v>8</v>
      </c>
      <c r="B53" s="53" t="s">
        <v>60</v>
      </c>
      <c r="C53" s="53"/>
      <c r="D53" s="53"/>
      <c r="E53" s="53"/>
      <c r="F53" s="53"/>
    </row>
    <row r="54" spans="1:6" ht="17.25" customHeight="1" x14ac:dyDescent="0.3">
      <c r="A54" s="40"/>
      <c r="B54" s="53"/>
      <c r="C54" s="53"/>
      <c r="D54" s="53"/>
      <c r="E54" s="53"/>
      <c r="F54" s="53"/>
    </row>
    <row r="55" spans="1:6" ht="17.25" customHeight="1" x14ac:dyDescent="0.3">
      <c r="A55" s="40"/>
      <c r="B55" s="43"/>
      <c r="C55" s="43"/>
      <c r="D55" s="43"/>
      <c r="E55" s="43"/>
      <c r="F55" s="43"/>
    </row>
    <row r="56" spans="1:6" ht="17.25" customHeight="1" x14ac:dyDescent="0.3">
      <c r="A56" s="40"/>
      <c r="B56" s="41" t="s">
        <v>61</v>
      </c>
      <c r="C56" s="42"/>
      <c r="D56" s="42"/>
      <c r="E56" s="42"/>
      <c r="F56" s="42"/>
    </row>
    <row r="57" spans="1:6" ht="17.25" customHeight="1" x14ac:dyDescent="0.3">
      <c r="A57" s="44" t="s">
        <v>62</v>
      </c>
      <c r="B57" s="42" t="s">
        <v>63</v>
      </c>
      <c r="C57" s="42"/>
      <c r="D57" s="42"/>
      <c r="E57" s="42"/>
      <c r="F57" s="42"/>
    </row>
    <row r="58" spans="1:6" ht="17.25" customHeight="1" x14ac:dyDescent="0.3">
      <c r="A58" s="44" t="s">
        <v>64</v>
      </c>
      <c r="B58" s="42" t="s">
        <v>65</v>
      </c>
      <c r="C58" s="42"/>
      <c r="D58" s="42"/>
      <c r="E58" s="42"/>
      <c r="F58" s="42"/>
    </row>
    <row r="59" spans="1:6" ht="17.25" customHeight="1" x14ac:dyDescent="0.3">
      <c r="A59" s="44" t="s">
        <v>66</v>
      </c>
      <c r="B59" s="42" t="s">
        <v>67</v>
      </c>
      <c r="C59" s="42"/>
      <c r="D59" s="42"/>
      <c r="E59" s="42"/>
      <c r="F59" s="42"/>
    </row>
    <row r="60" spans="1:6" ht="17.25" customHeight="1" x14ac:dyDescent="0.3">
      <c r="A60" s="45"/>
      <c r="B60" s="45"/>
      <c r="C60" s="45"/>
      <c r="D60" s="45"/>
      <c r="E60" s="45"/>
      <c r="F60" s="45"/>
    </row>
    <row r="61" spans="1:6" ht="17.25" customHeight="1" x14ac:dyDescent="0.3">
      <c r="A61" s="45"/>
      <c r="B61" s="45"/>
      <c r="C61" s="45"/>
      <c r="D61" s="45"/>
      <c r="E61" s="45"/>
      <c r="F61" s="45"/>
    </row>
    <row r="62" spans="1:6" ht="17.25" customHeight="1" x14ac:dyDescent="0.3">
      <c r="A62" s="46" t="s">
        <v>68</v>
      </c>
      <c r="B62" s="45"/>
      <c r="C62" s="45"/>
      <c r="D62" s="45"/>
      <c r="E62" s="45"/>
      <c r="F62" s="47"/>
    </row>
    <row r="63" spans="1:6" ht="17.25" customHeight="1" x14ac:dyDescent="0.3">
      <c r="A63" s="46"/>
      <c r="B63" s="45"/>
      <c r="C63" s="45"/>
      <c r="D63" s="45"/>
      <c r="E63" s="45"/>
      <c r="F63" s="47"/>
    </row>
    <row r="64" spans="1:6" ht="17.25" customHeight="1" x14ac:dyDescent="0.3">
      <c r="A64" s="46"/>
      <c r="B64" s="45"/>
      <c r="C64" s="45"/>
      <c r="D64" s="45"/>
      <c r="E64" s="45"/>
      <c r="F64" s="47"/>
    </row>
    <row r="65" spans="1:6" ht="17.25" customHeight="1" x14ac:dyDescent="0.3">
      <c r="A65" s="54" t="s">
        <v>69</v>
      </c>
      <c r="B65" s="54"/>
      <c r="C65" s="45"/>
      <c r="D65" s="45"/>
      <c r="E65" s="45"/>
      <c r="F65" s="47"/>
    </row>
    <row r="66" spans="1:6" ht="17.25" customHeight="1" x14ac:dyDescent="0.3">
      <c r="A66" s="48" t="s">
        <v>70</v>
      </c>
      <c r="B66" s="49" t="s">
        <v>71</v>
      </c>
      <c r="C66" s="45"/>
      <c r="D66" s="45"/>
      <c r="E66" s="45"/>
      <c r="F66" s="45"/>
    </row>
    <row r="67" spans="1:6" ht="17.25" customHeight="1" x14ac:dyDescent="0.3">
      <c r="A67" s="50" t="s">
        <v>72</v>
      </c>
      <c r="B67" s="49" t="s">
        <v>73</v>
      </c>
      <c r="C67" s="45"/>
      <c r="D67" s="45"/>
      <c r="E67" s="45"/>
      <c r="F67" s="45"/>
    </row>
    <row r="68" spans="1:6" ht="17.25" customHeight="1" x14ac:dyDescent="0.3">
      <c r="A68" s="51" t="s">
        <v>74</v>
      </c>
      <c r="B68" s="52" t="s">
        <v>75</v>
      </c>
      <c r="C68" s="45"/>
      <c r="D68" s="45"/>
      <c r="E68" s="45"/>
      <c r="F68" s="45"/>
    </row>
    <row r="69" spans="1:6" ht="17.25" customHeight="1" x14ac:dyDescent="0.3">
      <c r="A69" s="48" t="s">
        <v>76</v>
      </c>
      <c r="B69" s="49" t="s">
        <v>77</v>
      </c>
      <c r="C69" s="45"/>
      <c r="D69" s="45"/>
      <c r="E69" s="45"/>
      <c r="F69" s="45"/>
    </row>
    <row r="70" spans="1:6" ht="17.25" customHeight="1" x14ac:dyDescent="0.3">
      <c r="A70" s="50" t="s">
        <v>78</v>
      </c>
      <c r="B70" s="49" t="s">
        <v>79</v>
      </c>
      <c r="C70" s="45"/>
      <c r="D70" s="45"/>
      <c r="E70" s="45"/>
      <c r="F70" s="45"/>
    </row>
    <row r="71" spans="1:6" ht="17.25" customHeight="1" x14ac:dyDescent="0.3">
      <c r="A71" s="50" t="s">
        <v>80</v>
      </c>
      <c r="B71" s="49" t="s">
        <v>81</v>
      </c>
      <c r="C71" s="45"/>
      <c r="D71" s="45"/>
      <c r="E71" s="45"/>
      <c r="F71" s="45"/>
    </row>
    <row r="72" spans="1:6" ht="17.25" customHeight="1" x14ac:dyDescent="0.3">
      <c r="A72" s="50" t="s">
        <v>82</v>
      </c>
      <c r="B72" s="49" t="s">
        <v>83</v>
      </c>
      <c r="C72" s="45"/>
      <c r="D72" s="45"/>
      <c r="E72" s="45"/>
      <c r="F72" s="45"/>
    </row>
    <row r="73" spans="1:6" ht="17.25" customHeight="1" x14ac:dyDescent="0.3">
      <c r="A73" s="50" t="s">
        <v>84</v>
      </c>
      <c r="B73" s="49" t="s">
        <v>85</v>
      </c>
      <c r="C73" s="45"/>
      <c r="D73" s="45"/>
      <c r="E73" s="45"/>
      <c r="F73" s="45"/>
    </row>
    <row r="74" spans="1:6" ht="17.25" customHeight="1" x14ac:dyDescent="0.3">
      <c r="A74" s="45"/>
      <c r="B74" s="45"/>
      <c r="C74" s="45"/>
      <c r="D74" s="45"/>
      <c r="E74" s="45"/>
      <c r="F74" s="45"/>
    </row>
    <row r="75" spans="1:6" ht="17.25" customHeight="1" x14ac:dyDescent="0.3">
      <c r="A75" s="45"/>
      <c r="B75" s="45"/>
      <c r="C75" s="45"/>
      <c r="D75" s="45"/>
      <c r="E75" s="45"/>
      <c r="F75" s="45"/>
    </row>
  </sheetData>
  <mergeCells count="16">
    <mergeCell ref="F5:F6"/>
    <mergeCell ref="A2:F2"/>
    <mergeCell ref="A5:A6"/>
    <mergeCell ref="B5:B6"/>
    <mergeCell ref="C5:C6"/>
    <mergeCell ref="D5:D6"/>
    <mergeCell ref="E5:E6"/>
    <mergeCell ref="A3:F3"/>
    <mergeCell ref="A4:D4"/>
    <mergeCell ref="E4:F4"/>
    <mergeCell ref="B53:F54"/>
    <mergeCell ref="A65:B65"/>
    <mergeCell ref="B51:F51"/>
    <mergeCell ref="B46:F46"/>
    <mergeCell ref="B47:F47"/>
    <mergeCell ref="B52:F52"/>
  </mergeCells>
  <pageMargins left="0.70866141732283505" right="0.70866141732283505" top="0.74803149606299202" bottom="0.74803149606299202" header="0.31496062992126" footer="0.31496062992126"/>
  <pageSetup paperSize="9" scale="49" fitToHeight="0" orientation="portrait" r:id="rId1"/>
  <rowBreaks count="1" manualBreakCount="1">
    <brk id="66"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Soil investigation BOQ</vt:lpstr>
      <vt:lpstr>'Soil investigation BOQ'!Print_Area</vt:lpstr>
      <vt:lpstr>'Soil investigation BOQ'!Print_Titles</vt:lpstr>
    </vt:vector>
  </TitlesOfParts>
  <Company>Birla Estates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deepak.suthar@adityabirla.com</dc:creator>
  <cp:lastModifiedBy>Global Geotechnics</cp:lastModifiedBy>
  <cp:lastPrinted>2024-01-23T12:55:45Z</cp:lastPrinted>
  <dcterms:created xsi:type="dcterms:W3CDTF">2019-03-19T04:16:36Z</dcterms:created>
  <dcterms:modified xsi:type="dcterms:W3CDTF">2026-06-08T05:01:39Z</dcterms:modified>
</cp:coreProperties>
</file>